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esh gana\Downloads\"/>
    </mc:Choice>
  </mc:AlternateContent>
  <xr:revisionPtr revIDLastSave="0" documentId="8_{49565303-726E-4F82-AA7E-88DD3231C715}" xr6:coauthVersionLast="47" xr6:coauthVersionMax="47" xr10:uidLastSave="{00000000-0000-0000-0000-000000000000}"/>
  <bookViews>
    <workbookView xWindow="-108" yWindow="-108" windowWidth="23256" windowHeight="12456" activeTab="2" xr2:uid="{9EFD8868-1B1D-402B-8D75-512050FF4B73}"/>
  </bookViews>
  <sheets>
    <sheet name="DATE&amp;TIME FUNCTIONS" sheetId="1" r:id="rId1"/>
    <sheet name="Sheet4" sheetId="4" r:id="rId2"/>
    <sheet name="lookup'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6" l="1"/>
  <c r="H4" i="6"/>
  <c r="H3" i="6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3" i="4"/>
  <c r="G27" i="4"/>
  <c r="G26" i="4"/>
  <c r="G25" i="4"/>
  <c r="G24" i="4"/>
  <c r="G23" i="4"/>
  <c r="G22" i="4"/>
  <c r="G21" i="4"/>
  <c r="G20" i="4"/>
  <c r="G19" i="4"/>
  <c r="G18" i="4"/>
  <c r="G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G3" i="4"/>
  <c r="F3" i="4"/>
  <c r="I3" i="1"/>
  <c r="I4" i="1"/>
  <c r="I5" i="1"/>
  <c r="I2" i="1"/>
  <c r="H3" i="1"/>
  <c r="H4" i="1"/>
  <c r="H5" i="1"/>
  <c r="H2" i="1"/>
  <c r="G3" i="1"/>
  <c r="G4" i="1"/>
  <c r="G5" i="1"/>
  <c r="G2" i="1"/>
  <c r="I14" i="1"/>
  <c r="I12" i="1"/>
  <c r="I10" i="1"/>
  <c r="I8" i="1"/>
  <c r="I6" i="1"/>
</calcChain>
</file>

<file path=xl/sharedStrings.xml><?xml version="1.0" encoding="utf-8"?>
<sst xmlns="http://schemas.openxmlformats.org/spreadsheetml/2006/main" count="134" uniqueCount="117">
  <si>
    <t>Order_ID</t>
  </si>
  <si>
    <t>Customer</t>
  </si>
  <si>
    <t>Order_Date</t>
  </si>
  <si>
    <t>Delivery_Date</t>
  </si>
  <si>
    <t>Sales</t>
  </si>
  <si>
    <t>A101</t>
  </si>
  <si>
    <t>Ravi</t>
  </si>
  <si>
    <t>A102</t>
  </si>
  <si>
    <t>Priya</t>
  </si>
  <si>
    <t>A103</t>
  </si>
  <si>
    <t>Kumar</t>
  </si>
  <si>
    <t>A104</t>
  </si>
  <si>
    <t>Anu</t>
  </si>
  <si>
    <t>A105</t>
  </si>
  <si>
    <t>Sita</t>
  </si>
  <si>
    <t>TODAY</t>
  </si>
  <si>
    <t>DATE-TIME</t>
  </si>
  <si>
    <t>YEAR</t>
  </si>
  <si>
    <t>MONTH</t>
  </si>
  <si>
    <t>WEEKDAY</t>
  </si>
  <si>
    <t>Features</t>
  </si>
  <si>
    <t>Month</t>
  </si>
  <si>
    <t>year</t>
  </si>
  <si>
    <t>A1001</t>
  </si>
  <si>
    <t>A1002</t>
  </si>
  <si>
    <t>A1003</t>
  </si>
  <si>
    <t>A1004</t>
  </si>
  <si>
    <t>A1005</t>
  </si>
  <si>
    <t>A1006</t>
  </si>
  <si>
    <t>Raj</t>
  </si>
  <si>
    <t>A1007</t>
  </si>
  <si>
    <t>Meena</t>
  </si>
  <si>
    <t>A1008</t>
  </si>
  <si>
    <t>Arjun</t>
  </si>
  <si>
    <t>A1009</t>
  </si>
  <si>
    <t>Lakshmi</t>
  </si>
  <si>
    <t>A1010</t>
  </si>
  <si>
    <t>Vijay</t>
  </si>
  <si>
    <t>A1011</t>
  </si>
  <si>
    <t>Divya</t>
  </si>
  <si>
    <t>A1012</t>
  </si>
  <si>
    <t>Kiran</t>
  </si>
  <si>
    <t>A1013</t>
  </si>
  <si>
    <t>Swathi</t>
  </si>
  <si>
    <t>A1014</t>
  </si>
  <si>
    <t>Naveen</t>
  </si>
  <si>
    <t>A1015</t>
  </si>
  <si>
    <t>Pooja</t>
  </si>
  <si>
    <t>A1016</t>
  </si>
  <si>
    <t>Suresh</t>
  </si>
  <si>
    <t>A1017</t>
  </si>
  <si>
    <t>Kavya</t>
  </si>
  <si>
    <t>A1018</t>
  </si>
  <si>
    <t>Mahesh</t>
  </si>
  <si>
    <t>A1019</t>
  </si>
  <si>
    <t>Deepa</t>
  </si>
  <si>
    <t>A1020</t>
  </si>
  <si>
    <t>Ramesh</t>
  </si>
  <si>
    <t>A1021</t>
  </si>
  <si>
    <t>Asha</t>
  </si>
  <si>
    <t>A1022</t>
  </si>
  <si>
    <t>Sanjay</t>
  </si>
  <si>
    <t>A1023</t>
  </si>
  <si>
    <t>Geetha</t>
  </si>
  <si>
    <t>A1024</t>
  </si>
  <si>
    <t>Harish</t>
  </si>
  <si>
    <t>A1025</t>
  </si>
  <si>
    <t>Rekha</t>
  </si>
  <si>
    <t>Product_ID</t>
  </si>
  <si>
    <t>Product_Name</t>
  </si>
  <si>
    <t>Category</t>
  </si>
  <si>
    <t>Price</t>
  </si>
  <si>
    <t>P101</t>
  </si>
  <si>
    <t>Laptop</t>
  </si>
  <si>
    <t>Electronics</t>
  </si>
  <si>
    <t>P103</t>
  </si>
  <si>
    <t>Headphones</t>
  </si>
  <si>
    <t>Accessories</t>
  </si>
  <si>
    <t>P105</t>
  </si>
  <si>
    <t>Smartwatch</t>
  </si>
  <si>
    <t>Wearables</t>
  </si>
  <si>
    <t>P102</t>
  </si>
  <si>
    <t>Mobile</t>
  </si>
  <si>
    <t>P108</t>
  </si>
  <si>
    <t>Monitor</t>
  </si>
  <si>
    <t>Supplier</t>
  </si>
  <si>
    <t>Dell</t>
  </si>
  <si>
    <t>Samsung</t>
  </si>
  <si>
    <t>Sony</t>
  </si>
  <si>
    <t>P104</t>
  </si>
  <si>
    <t>Tablet</t>
  </si>
  <si>
    <t>Lenovo</t>
  </si>
  <si>
    <t>Noise</t>
  </si>
  <si>
    <t>P106</t>
  </si>
  <si>
    <t>Keyboard</t>
  </si>
  <si>
    <t>Logitech</t>
  </si>
  <si>
    <t>P107</t>
  </si>
  <si>
    <t>Mouse</t>
  </si>
  <si>
    <t>HP</t>
  </si>
  <si>
    <t>LG</t>
  </si>
  <si>
    <t>P109</t>
  </si>
  <si>
    <t>Printer</t>
  </si>
  <si>
    <t>Canon</t>
  </si>
  <si>
    <t>P110</t>
  </si>
  <si>
    <t>Power Bank</t>
  </si>
  <si>
    <t>Mi</t>
  </si>
  <si>
    <t>vlookup</t>
  </si>
  <si>
    <t>id</t>
  </si>
  <si>
    <t>Name</t>
  </si>
  <si>
    <t>a</t>
  </si>
  <si>
    <t>b</t>
  </si>
  <si>
    <t>c</t>
  </si>
  <si>
    <t>cat</t>
  </si>
  <si>
    <t>ele</t>
  </si>
  <si>
    <t>Ass</t>
  </si>
  <si>
    <t>Kit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</si>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</sst>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14" fontId="0" fillId="0" borderId="0" xfId="0" applyNumberFormat="1"/>
    <xf numFmtId="22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171" fontId="0" fillId="0" borderId="0" xfId="0" applyNumberFormat="1" applyAlignment="1">
      <alignment vertical="center" wrapTex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ADFBD-45EA-46C1-A7B3-885511C60920}">
  <dimension ref="A1:L14"/>
  <sheetViews>
    <sheetView zoomScale="139" workbookViewId="0">
      <selection activeCell="J2" sqref="J2"/>
    </sheetView>
  </sheetViews>
  <sheetFormatPr defaultRowHeight="14.4" x14ac:dyDescent="0.3"/>
  <cols>
    <col min="3" max="4" width="10.33203125" bestFit="1" customWidth="1"/>
    <col min="7" max="7" width="10.5546875" bestFit="1" customWidth="1"/>
    <col min="9" max="9" width="19" customWidth="1"/>
  </cols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12" x14ac:dyDescent="0.3">
      <c r="A2" s="3" t="s">
        <v>5</v>
      </c>
      <c r="B2" s="3" t="s">
        <v>6</v>
      </c>
      <c r="C2" s="4">
        <v>45658</v>
      </c>
      <c r="D2" s="4">
        <v>46027</v>
      </c>
      <c r="E2" s="5">
        <v>25000</v>
      </c>
      <c r="G2">
        <f>YEAR(C2)</f>
        <v>2025</v>
      </c>
      <c r="H2">
        <f>MONTH(C2)</f>
        <v>1</v>
      </c>
      <c r="I2">
        <f>WEEKDAY(C2,1)</f>
        <v>4</v>
      </c>
    </row>
    <row r="3" spans="1:12" x14ac:dyDescent="0.3">
      <c r="A3" s="3" t="s">
        <v>7</v>
      </c>
      <c r="B3" s="3" t="s">
        <v>8</v>
      </c>
      <c r="C3" s="4">
        <v>44607</v>
      </c>
      <c r="D3" s="4">
        <v>46073</v>
      </c>
      <c r="E3" s="5">
        <v>18000</v>
      </c>
      <c r="G3">
        <f t="shared" ref="G3:G5" si="0">YEAR(C3)</f>
        <v>2022</v>
      </c>
      <c r="H3">
        <f t="shared" ref="H3:H5" si="1">MONTH(C3)</f>
        <v>2</v>
      </c>
      <c r="I3">
        <f t="shared" ref="I3:I5" si="2">WEEKDAY(C3,1)</f>
        <v>3</v>
      </c>
    </row>
    <row r="4" spans="1:12" x14ac:dyDescent="0.3">
      <c r="A4" s="3" t="s">
        <v>9</v>
      </c>
      <c r="B4" s="3" t="s">
        <v>10</v>
      </c>
      <c r="C4" s="4">
        <v>46091</v>
      </c>
      <c r="D4" s="4">
        <v>46099</v>
      </c>
      <c r="E4" s="5">
        <v>32000</v>
      </c>
      <c r="G4">
        <f t="shared" si="0"/>
        <v>2026</v>
      </c>
      <c r="H4">
        <f t="shared" si="1"/>
        <v>3</v>
      </c>
      <c r="I4">
        <f t="shared" si="2"/>
        <v>3</v>
      </c>
      <c r="L4" s="6"/>
    </row>
    <row r="5" spans="1:12" x14ac:dyDescent="0.3">
      <c r="A5" s="3" t="s">
        <v>11</v>
      </c>
      <c r="B5" s="3" t="s">
        <v>12</v>
      </c>
      <c r="C5" s="4">
        <v>46137</v>
      </c>
      <c r="D5" s="4">
        <v>46139</v>
      </c>
      <c r="E5" s="5">
        <v>15000</v>
      </c>
      <c r="G5">
        <f t="shared" si="0"/>
        <v>2026</v>
      </c>
      <c r="H5">
        <f t="shared" si="1"/>
        <v>4</v>
      </c>
      <c r="I5">
        <f t="shared" si="2"/>
        <v>7</v>
      </c>
    </row>
    <row r="6" spans="1:12" x14ac:dyDescent="0.3">
      <c r="A6" s="3" t="s">
        <v>13</v>
      </c>
      <c r="B6" s="3" t="s">
        <v>14</v>
      </c>
      <c r="C6" s="4">
        <v>46117</v>
      </c>
      <c r="D6" s="4">
        <v>46154</v>
      </c>
      <c r="E6" s="5">
        <v>22000</v>
      </c>
      <c r="G6" t="s">
        <v>15</v>
      </c>
      <c r="I6" s="6">
        <f ca="1">TODAY()</f>
        <v>46249</v>
      </c>
    </row>
    <row r="8" spans="1:12" x14ac:dyDescent="0.3">
      <c r="G8" t="s">
        <v>16</v>
      </c>
      <c r="I8" s="7">
        <f ca="1">NOW()</f>
        <v>46249.821747569447</v>
      </c>
    </row>
    <row r="10" spans="1:12" x14ac:dyDescent="0.3">
      <c r="G10" t="s">
        <v>17</v>
      </c>
      <c r="I10">
        <f>YEAR(C3)</f>
        <v>2022</v>
      </c>
    </row>
    <row r="12" spans="1:12" x14ac:dyDescent="0.3">
      <c r="G12" t="s">
        <v>18</v>
      </c>
      <c r="I12">
        <f>MONTH(C5)</f>
        <v>4</v>
      </c>
    </row>
    <row r="14" spans="1:12" x14ac:dyDescent="0.3">
      <c r="G14" t="s">
        <v>19</v>
      </c>
      <c r="I14">
        <f>WEEKDAY(C2,1)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207FC-CE45-4BE6-8E60-1D2E99CD67CA}">
  <dimension ref="A1:M27"/>
  <sheetViews>
    <sheetView workbookViewId="0">
      <selection activeCell="P9" sqref="P9"/>
    </sheetView>
  </sheetViews>
  <sheetFormatPr defaultRowHeight="14.4" x14ac:dyDescent="0.3"/>
  <cols>
    <col min="3" max="4" width="10.33203125" bestFit="1" customWidth="1"/>
  </cols>
  <sheetData>
    <row r="1" spans="1:13" x14ac:dyDescent="0.3">
      <c r="F1" t="s">
        <v>20</v>
      </c>
    </row>
    <row r="2" spans="1:13" ht="28.8" x14ac:dyDescent="0.3">
      <c r="A2" s="12" t="s">
        <v>0</v>
      </c>
      <c r="B2" s="12" t="s">
        <v>1</v>
      </c>
      <c r="C2" s="12" t="s">
        <v>2</v>
      </c>
      <c r="D2" s="12" t="s">
        <v>3</v>
      </c>
      <c r="E2" s="13" t="s">
        <v>4</v>
      </c>
      <c r="F2" s="12" t="s">
        <v>21</v>
      </c>
      <c r="G2" s="12" t="s">
        <v>22</v>
      </c>
    </row>
    <row r="3" spans="1:13" x14ac:dyDescent="0.3">
      <c r="A3" s="10" t="s">
        <v>23</v>
      </c>
      <c r="B3" s="10" t="s">
        <v>6</v>
      </c>
      <c r="C3" s="14">
        <v>46027</v>
      </c>
      <c r="D3" s="14">
        <v>46030</v>
      </c>
      <c r="E3" s="11">
        <v>45000</v>
      </c>
      <c r="F3">
        <f>MONTH(C3)</f>
        <v>1</v>
      </c>
      <c r="G3">
        <f>YEAR(D3)</f>
        <v>2026</v>
      </c>
      <c r="I3">
        <f>DATEDIF(C3,D3,"d")</f>
        <v>3</v>
      </c>
      <c r="K3">
        <f>DATEDIF(C3,D3,"m")</f>
        <v>0</v>
      </c>
      <c r="M3">
        <f>DATEDIF(C3,D3,"y")</f>
        <v>0</v>
      </c>
    </row>
    <row r="4" spans="1:13" x14ac:dyDescent="0.3">
      <c r="A4" s="10" t="s">
        <v>24</v>
      </c>
      <c r="B4" s="10" t="s">
        <v>8</v>
      </c>
      <c r="C4" s="14">
        <v>46034</v>
      </c>
      <c r="D4" s="14">
        <v>46040</v>
      </c>
      <c r="E4" s="11">
        <v>28000</v>
      </c>
      <c r="F4">
        <f t="shared" ref="F4:F16" si="0">MONTH(C4)</f>
        <v>1</v>
      </c>
      <c r="G4">
        <f t="shared" ref="G4:G27" si="1">YEAR(D4)</f>
        <v>2026</v>
      </c>
      <c r="I4">
        <f t="shared" ref="I4:I27" si="2">DATEDIF(C4,D4,"d")</f>
        <v>6</v>
      </c>
      <c r="K4">
        <f t="shared" ref="K4:K27" si="3">DATEDIF(C4,D4,"m")</f>
        <v>0</v>
      </c>
      <c r="M4">
        <f t="shared" ref="M4:M29" si="4">DATEDIF(C4,D4,"y")</f>
        <v>0</v>
      </c>
    </row>
    <row r="5" spans="1:13" x14ac:dyDescent="0.3">
      <c r="A5" s="10" t="s">
        <v>25</v>
      </c>
      <c r="B5" s="10" t="s">
        <v>10</v>
      </c>
      <c r="C5" s="14">
        <v>46047</v>
      </c>
      <c r="D5" s="14">
        <v>46050</v>
      </c>
      <c r="E5" s="11">
        <v>15000</v>
      </c>
      <c r="F5">
        <f t="shared" si="0"/>
        <v>1</v>
      </c>
      <c r="G5">
        <f t="shared" si="1"/>
        <v>2026</v>
      </c>
      <c r="I5">
        <f t="shared" si="2"/>
        <v>3</v>
      </c>
      <c r="K5">
        <f t="shared" si="3"/>
        <v>0</v>
      </c>
      <c r="M5">
        <f t="shared" si="4"/>
        <v>0</v>
      </c>
    </row>
    <row r="6" spans="1:13" x14ac:dyDescent="0.3">
      <c r="A6" s="10" t="s">
        <v>26</v>
      </c>
      <c r="B6" s="10" t="s">
        <v>12</v>
      </c>
      <c r="C6" s="14">
        <v>46056</v>
      </c>
      <c r="D6" s="14">
        <v>46060</v>
      </c>
      <c r="E6" s="11">
        <v>62000</v>
      </c>
      <c r="F6">
        <f t="shared" si="0"/>
        <v>2</v>
      </c>
      <c r="G6">
        <f t="shared" si="1"/>
        <v>2026</v>
      </c>
      <c r="I6">
        <f t="shared" si="2"/>
        <v>4</v>
      </c>
      <c r="K6">
        <f t="shared" si="3"/>
        <v>0</v>
      </c>
      <c r="M6">
        <f t="shared" si="4"/>
        <v>0</v>
      </c>
    </row>
    <row r="7" spans="1:13" x14ac:dyDescent="0.3">
      <c r="A7" s="10" t="s">
        <v>27</v>
      </c>
      <c r="B7" s="10" t="s">
        <v>14</v>
      </c>
      <c r="C7" s="14">
        <v>46067</v>
      </c>
      <c r="D7" s="14">
        <v>46073</v>
      </c>
      <c r="E7" s="11">
        <v>18000</v>
      </c>
      <c r="F7">
        <f t="shared" si="0"/>
        <v>2</v>
      </c>
      <c r="G7">
        <f t="shared" si="1"/>
        <v>2026</v>
      </c>
      <c r="I7">
        <f t="shared" si="2"/>
        <v>6</v>
      </c>
      <c r="K7">
        <f t="shared" si="3"/>
        <v>0</v>
      </c>
      <c r="M7">
        <f t="shared" si="4"/>
        <v>0</v>
      </c>
    </row>
    <row r="8" spans="1:13" x14ac:dyDescent="0.3">
      <c r="A8" s="10" t="s">
        <v>28</v>
      </c>
      <c r="B8" s="10" t="s">
        <v>29</v>
      </c>
      <c r="C8" s="14">
        <v>46079</v>
      </c>
      <c r="D8" s="14">
        <v>46082</v>
      </c>
      <c r="E8" s="11">
        <v>35000</v>
      </c>
      <c r="F8">
        <f t="shared" si="0"/>
        <v>2</v>
      </c>
      <c r="G8">
        <f t="shared" si="1"/>
        <v>2026</v>
      </c>
      <c r="I8">
        <f t="shared" si="2"/>
        <v>3</v>
      </c>
      <c r="K8">
        <f t="shared" si="3"/>
        <v>0</v>
      </c>
      <c r="M8">
        <f t="shared" si="4"/>
        <v>0</v>
      </c>
    </row>
    <row r="9" spans="1:13" x14ac:dyDescent="0.3">
      <c r="A9" s="10" t="s">
        <v>30</v>
      </c>
      <c r="B9" s="10" t="s">
        <v>31</v>
      </c>
      <c r="C9" s="14">
        <v>46086</v>
      </c>
      <c r="D9" s="14">
        <v>46090</v>
      </c>
      <c r="E9" s="11">
        <v>27000</v>
      </c>
      <c r="F9">
        <f t="shared" si="0"/>
        <v>3</v>
      </c>
      <c r="G9">
        <f t="shared" si="1"/>
        <v>2026</v>
      </c>
      <c r="I9">
        <f t="shared" si="2"/>
        <v>4</v>
      </c>
      <c r="K9">
        <f t="shared" si="3"/>
        <v>0</v>
      </c>
      <c r="M9">
        <f t="shared" si="4"/>
        <v>0</v>
      </c>
    </row>
    <row r="10" spans="1:13" x14ac:dyDescent="0.3">
      <c r="A10" s="10" t="s">
        <v>32</v>
      </c>
      <c r="B10" s="10" t="s">
        <v>33</v>
      </c>
      <c r="C10" s="14">
        <v>46097</v>
      </c>
      <c r="D10" s="14">
        <v>46103</v>
      </c>
      <c r="E10" s="11">
        <v>75000</v>
      </c>
      <c r="F10">
        <f t="shared" si="0"/>
        <v>3</v>
      </c>
      <c r="G10">
        <f t="shared" si="1"/>
        <v>2026</v>
      </c>
      <c r="I10">
        <f t="shared" si="2"/>
        <v>6</v>
      </c>
      <c r="K10">
        <f t="shared" si="3"/>
        <v>0</v>
      </c>
      <c r="M10">
        <f t="shared" si="4"/>
        <v>0</v>
      </c>
    </row>
    <row r="11" spans="1:13" x14ac:dyDescent="0.3">
      <c r="A11" s="10" t="s">
        <v>34</v>
      </c>
      <c r="B11" s="10" t="s">
        <v>35</v>
      </c>
      <c r="C11" s="14">
        <v>46109</v>
      </c>
      <c r="D11" s="14">
        <v>46112</v>
      </c>
      <c r="E11" s="11">
        <v>22000</v>
      </c>
      <c r="F11">
        <f t="shared" si="0"/>
        <v>3</v>
      </c>
      <c r="G11">
        <f t="shared" si="1"/>
        <v>2026</v>
      </c>
      <c r="I11">
        <f t="shared" si="2"/>
        <v>3</v>
      </c>
      <c r="K11">
        <f t="shared" si="3"/>
        <v>0</v>
      </c>
      <c r="M11">
        <f t="shared" si="4"/>
        <v>0</v>
      </c>
    </row>
    <row r="12" spans="1:13" x14ac:dyDescent="0.3">
      <c r="A12" s="10" t="s">
        <v>36</v>
      </c>
      <c r="B12" s="10" t="s">
        <v>37</v>
      </c>
      <c r="C12" s="14">
        <v>46116</v>
      </c>
      <c r="D12" s="14">
        <v>46122</v>
      </c>
      <c r="E12" s="11">
        <v>41000</v>
      </c>
      <c r="F12">
        <f t="shared" si="0"/>
        <v>4</v>
      </c>
      <c r="G12">
        <f t="shared" si="1"/>
        <v>2026</v>
      </c>
      <c r="I12">
        <f t="shared" si="2"/>
        <v>6</v>
      </c>
      <c r="K12">
        <f t="shared" si="3"/>
        <v>0</v>
      </c>
      <c r="M12">
        <f t="shared" si="4"/>
        <v>0</v>
      </c>
    </row>
    <row r="13" spans="1:13" x14ac:dyDescent="0.3">
      <c r="A13" s="10" t="s">
        <v>38</v>
      </c>
      <c r="B13" s="10" t="s">
        <v>39</v>
      </c>
      <c r="C13" s="14">
        <v>46127</v>
      </c>
      <c r="D13" s="14">
        <v>46130</v>
      </c>
      <c r="E13" s="11">
        <v>19000</v>
      </c>
      <c r="F13">
        <f t="shared" si="0"/>
        <v>4</v>
      </c>
      <c r="G13">
        <f t="shared" si="1"/>
        <v>2026</v>
      </c>
      <c r="I13">
        <f t="shared" si="2"/>
        <v>3</v>
      </c>
      <c r="K13">
        <f t="shared" si="3"/>
        <v>0</v>
      </c>
      <c r="M13">
        <f t="shared" si="4"/>
        <v>0</v>
      </c>
    </row>
    <row r="14" spans="1:13" x14ac:dyDescent="0.3">
      <c r="A14" s="10" t="s">
        <v>40</v>
      </c>
      <c r="B14" s="10" t="s">
        <v>41</v>
      </c>
      <c r="C14" s="14">
        <v>46139</v>
      </c>
      <c r="D14" s="14">
        <v>46144</v>
      </c>
      <c r="E14" s="11">
        <v>56000</v>
      </c>
      <c r="F14">
        <f t="shared" si="0"/>
        <v>4</v>
      </c>
      <c r="G14">
        <f t="shared" si="1"/>
        <v>2026</v>
      </c>
      <c r="I14">
        <f t="shared" si="2"/>
        <v>5</v>
      </c>
      <c r="K14">
        <f t="shared" si="3"/>
        <v>0</v>
      </c>
      <c r="M14">
        <f t="shared" si="4"/>
        <v>0</v>
      </c>
    </row>
    <row r="15" spans="1:13" x14ac:dyDescent="0.3">
      <c r="A15" s="10" t="s">
        <v>42</v>
      </c>
      <c r="B15" s="10" t="s">
        <v>43</v>
      </c>
      <c r="C15" s="14">
        <v>46148</v>
      </c>
      <c r="D15" s="14">
        <v>46151</v>
      </c>
      <c r="E15" s="11">
        <v>32000</v>
      </c>
      <c r="F15">
        <f t="shared" si="0"/>
        <v>5</v>
      </c>
      <c r="G15">
        <f t="shared" si="1"/>
        <v>2026</v>
      </c>
      <c r="I15">
        <f t="shared" si="2"/>
        <v>3</v>
      </c>
      <c r="K15">
        <f t="shared" si="3"/>
        <v>0</v>
      </c>
      <c r="M15">
        <f t="shared" si="4"/>
        <v>0</v>
      </c>
    </row>
    <row r="16" spans="1:13" x14ac:dyDescent="0.3">
      <c r="A16" s="10" t="s">
        <v>44</v>
      </c>
      <c r="B16" s="10" t="s">
        <v>45</v>
      </c>
      <c r="C16" s="14">
        <v>46159</v>
      </c>
      <c r="D16" s="14">
        <v>46166</v>
      </c>
      <c r="E16" s="11">
        <v>68000</v>
      </c>
      <c r="F16">
        <f t="shared" si="0"/>
        <v>5</v>
      </c>
      <c r="G16">
        <f t="shared" si="1"/>
        <v>2026</v>
      </c>
      <c r="I16">
        <f t="shared" si="2"/>
        <v>7</v>
      </c>
      <c r="K16">
        <f t="shared" si="3"/>
        <v>0</v>
      </c>
      <c r="M16">
        <f t="shared" si="4"/>
        <v>0</v>
      </c>
    </row>
    <row r="17" spans="1:13" x14ac:dyDescent="0.3">
      <c r="A17" s="10" t="s">
        <v>46</v>
      </c>
      <c r="B17" s="10" t="s">
        <v>47</v>
      </c>
      <c r="C17" s="14">
        <v>46171</v>
      </c>
      <c r="D17" s="14">
        <v>46175</v>
      </c>
      <c r="E17" s="11">
        <v>24000</v>
      </c>
      <c r="G17">
        <f>YEAR(D17)</f>
        <v>2026</v>
      </c>
      <c r="I17">
        <f t="shared" si="2"/>
        <v>4</v>
      </c>
      <c r="K17">
        <f t="shared" si="3"/>
        <v>0</v>
      </c>
      <c r="M17">
        <f t="shared" si="4"/>
        <v>0</v>
      </c>
    </row>
    <row r="18" spans="1:13" x14ac:dyDescent="0.3">
      <c r="A18" s="10" t="s">
        <v>48</v>
      </c>
      <c r="B18" s="10" t="s">
        <v>49</v>
      </c>
      <c r="C18" s="14">
        <v>46177</v>
      </c>
      <c r="D18" s="14">
        <v>46181</v>
      </c>
      <c r="E18" s="11">
        <v>47000</v>
      </c>
      <c r="G18">
        <f t="shared" si="1"/>
        <v>2026</v>
      </c>
      <c r="I18">
        <f t="shared" si="2"/>
        <v>4</v>
      </c>
      <c r="K18">
        <f t="shared" si="3"/>
        <v>0</v>
      </c>
      <c r="M18">
        <f t="shared" si="4"/>
        <v>0</v>
      </c>
    </row>
    <row r="19" spans="1:13" x14ac:dyDescent="0.3">
      <c r="A19" s="10" t="s">
        <v>50</v>
      </c>
      <c r="B19" s="10" t="s">
        <v>51</v>
      </c>
      <c r="C19" s="14">
        <v>46188</v>
      </c>
      <c r="D19" s="14">
        <v>46194</v>
      </c>
      <c r="E19" s="11">
        <v>29000</v>
      </c>
      <c r="G19">
        <f t="shared" si="1"/>
        <v>2026</v>
      </c>
      <c r="I19">
        <f t="shared" si="2"/>
        <v>6</v>
      </c>
      <c r="K19">
        <f t="shared" si="3"/>
        <v>0</v>
      </c>
      <c r="M19">
        <f t="shared" si="4"/>
        <v>0</v>
      </c>
    </row>
    <row r="20" spans="1:13" x14ac:dyDescent="0.3">
      <c r="A20" s="10" t="s">
        <v>52</v>
      </c>
      <c r="B20" s="10" t="s">
        <v>53</v>
      </c>
      <c r="C20" s="14">
        <v>46199</v>
      </c>
      <c r="D20" s="14">
        <v>46203</v>
      </c>
      <c r="E20" s="11">
        <v>83000</v>
      </c>
      <c r="G20">
        <f t="shared" si="1"/>
        <v>2026</v>
      </c>
      <c r="I20">
        <f t="shared" si="2"/>
        <v>4</v>
      </c>
      <c r="K20">
        <f t="shared" si="3"/>
        <v>0</v>
      </c>
      <c r="M20">
        <f t="shared" si="4"/>
        <v>0</v>
      </c>
    </row>
    <row r="21" spans="1:13" x14ac:dyDescent="0.3">
      <c r="A21" s="10" t="s">
        <v>54</v>
      </c>
      <c r="B21" s="10" t="s">
        <v>55</v>
      </c>
      <c r="C21" s="14">
        <v>46206</v>
      </c>
      <c r="D21" s="14">
        <v>46210</v>
      </c>
      <c r="E21" s="11">
        <v>36000</v>
      </c>
      <c r="G21">
        <f t="shared" si="1"/>
        <v>2026</v>
      </c>
      <c r="I21">
        <f t="shared" si="2"/>
        <v>4</v>
      </c>
      <c r="K21">
        <f t="shared" si="3"/>
        <v>0</v>
      </c>
      <c r="M21">
        <f t="shared" si="4"/>
        <v>0</v>
      </c>
    </row>
    <row r="22" spans="1:13" x14ac:dyDescent="0.3">
      <c r="A22" s="10" t="s">
        <v>56</v>
      </c>
      <c r="B22" s="10" t="s">
        <v>57</v>
      </c>
      <c r="C22" s="14">
        <v>46217</v>
      </c>
      <c r="D22" s="14">
        <v>46223</v>
      </c>
      <c r="E22" s="11">
        <v>52000</v>
      </c>
      <c r="G22">
        <f t="shared" si="1"/>
        <v>2026</v>
      </c>
      <c r="I22">
        <f t="shared" si="2"/>
        <v>6</v>
      </c>
      <c r="K22">
        <f t="shared" si="3"/>
        <v>0</v>
      </c>
      <c r="M22">
        <f t="shared" si="4"/>
        <v>0</v>
      </c>
    </row>
    <row r="23" spans="1:13" x14ac:dyDescent="0.3">
      <c r="A23" s="10" t="s">
        <v>58</v>
      </c>
      <c r="B23" s="10" t="s">
        <v>59</v>
      </c>
      <c r="C23" s="14">
        <v>46228</v>
      </c>
      <c r="D23" s="14">
        <v>46232</v>
      </c>
      <c r="E23" s="11">
        <v>17000</v>
      </c>
      <c r="G23">
        <f t="shared" si="1"/>
        <v>2026</v>
      </c>
      <c r="I23">
        <f t="shared" si="2"/>
        <v>4</v>
      </c>
      <c r="K23">
        <f t="shared" si="3"/>
        <v>0</v>
      </c>
      <c r="M23">
        <f t="shared" si="4"/>
        <v>0</v>
      </c>
    </row>
    <row r="24" spans="1:13" x14ac:dyDescent="0.3">
      <c r="A24" s="10" t="s">
        <v>60</v>
      </c>
      <c r="B24" s="10" t="s">
        <v>61</v>
      </c>
      <c r="C24" s="14">
        <v>46236</v>
      </c>
      <c r="D24" s="14">
        <v>46242</v>
      </c>
      <c r="E24" s="11">
        <v>61000</v>
      </c>
      <c r="G24">
        <f t="shared" si="1"/>
        <v>2026</v>
      </c>
      <c r="I24">
        <f t="shared" si="2"/>
        <v>6</v>
      </c>
      <c r="K24">
        <f t="shared" si="3"/>
        <v>0</v>
      </c>
      <c r="M24">
        <f t="shared" si="4"/>
        <v>0</v>
      </c>
    </row>
    <row r="25" spans="1:13" x14ac:dyDescent="0.3">
      <c r="A25" s="10" t="s">
        <v>62</v>
      </c>
      <c r="B25" s="10" t="s">
        <v>63</v>
      </c>
      <c r="C25" s="14">
        <v>45874</v>
      </c>
      <c r="D25" s="14">
        <v>45880</v>
      </c>
      <c r="E25" s="11">
        <v>26000</v>
      </c>
      <c r="G25">
        <f t="shared" si="1"/>
        <v>2025</v>
      </c>
      <c r="I25">
        <f t="shared" si="2"/>
        <v>6</v>
      </c>
      <c r="K25">
        <f t="shared" si="3"/>
        <v>0</v>
      </c>
      <c r="M25">
        <f t="shared" si="4"/>
        <v>0</v>
      </c>
    </row>
    <row r="26" spans="1:13" x14ac:dyDescent="0.3">
      <c r="A26" s="10" t="s">
        <v>64</v>
      </c>
      <c r="B26" s="10" t="s">
        <v>65</v>
      </c>
      <c r="C26" s="14">
        <v>45879</v>
      </c>
      <c r="D26" s="14">
        <v>45882</v>
      </c>
      <c r="E26" s="11">
        <v>39000</v>
      </c>
      <c r="G26">
        <f t="shared" si="1"/>
        <v>2025</v>
      </c>
      <c r="I26">
        <f t="shared" si="2"/>
        <v>3</v>
      </c>
      <c r="K26">
        <f t="shared" si="3"/>
        <v>0</v>
      </c>
      <c r="M26">
        <f t="shared" si="4"/>
        <v>0</v>
      </c>
    </row>
    <row r="27" spans="1:13" x14ac:dyDescent="0.3">
      <c r="A27" s="10" t="s">
        <v>66</v>
      </c>
      <c r="B27" s="10" t="s">
        <v>67</v>
      </c>
      <c r="C27" s="14">
        <v>45882</v>
      </c>
      <c r="D27" s="14">
        <v>45883</v>
      </c>
      <c r="E27" s="11">
        <v>21000</v>
      </c>
      <c r="G27">
        <f t="shared" si="1"/>
        <v>2025</v>
      </c>
      <c r="I27">
        <f t="shared" si="2"/>
        <v>1</v>
      </c>
      <c r="K27">
        <f t="shared" si="3"/>
        <v>0</v>
      </c>
      <c r="M27">
        <f t="shared" si="4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7271-C947-4D32-962B-D5831FC832E3}">
  <dimension ref="A1:H21"/>
  <sheetViews>
    <sheetView tabSelected="1" topLeftCell="A11" workbookViewId="0">
      <selection activeCell="G22" sqref="G22"/>
    </sheetView>
  </sheetViews>
  <sheetFormatPr defaultRowHeight="14.4" x14ac:dyDescent="0.3"/>
  <cols>
    <col min="1" max="1" width="16.44140625" customWidth="1"/>
    <col min="2" max="2" width="14.6640625" customWidth="1"/>
    <col min="5" max="5" width="11.77734375" customWidth="1"/>
    <col min="8" max="8" width="12.44140625" customWidth="1"/>
  </cols>
  <sheetData>
    <row r="1" spans="1:8" ht="28.8" x14ac:dyDescent="0.3">
      <c r="A1" s="8" t="s">
        <v>68</v>
      </c>
      <c r="B1" s="8" t="s">
        <v>69</v>
      </c>
      <c r="C1" s="8" t="s">
        <v>70</v>
      </c>
      <c r="D1" s="9" t="s">
        <v>71</v>
      </c>
      <c r="E1" s="8" t="s">
        <v>85</v>
      </c>
    </row>
    <row r="2" spans="1:8" ht="28.8" x14ac:dyDescent="0.3">
      <c r="A2" s="10" t="s">
        <v>72</v>
      </c>
      <c r="B2" s="10" t="s">
        <v>73</v>
      </c>
      <c r="C2" s="10" t="s">
        <v>74</v>
      </c>
      <c r="D2" s="11">
        <v>70000</v>
      </c>
      <c r="E2" s="10" t="s">
        <v>86</v>
      </c>
      <c r="F2" s="10"/>
      <c r="H2" s="15" t="s">
        <v>106</v>
      </c>
    </row>
    <row r="3" spans="1:8" ht="28.8" x14ac:dyDescent="0.3">
      <c r="A3" s="10" t="s">
        <v>81</v>
      </c>
      <c r="B3" s="10" t="s">
        <v>82</v>
      </c>
      <c r="C3" s="10" t="s">
        <v>74</v>
      </c>
      <c r="D3" s="11">
        <v>30000</v>
      </c>
      <c r="E3" s="10" t="s">
        <v>87</v>
      </c>
      <c r="F3" s="10"/>
      <c r="H3" t="str">
        <f>VLOOKUP(A4,A2:E11,3,FALSE)</f>
        <v>Accessories</v>
      </c>
    </row>
    <row r="4" spans="1:8" ht="28.8" x14ac:dyDescent="0.3">
      <c r="A4" s="10" t="s">
        <v>75</v>
      </c>
      <c r="B4" s="10" t="s">
        <v>76</v>
      </c>
      <c r="C4" s="10" t="s">
        <v>77</v>
      </c>
      <c r="D4" s="11">
        <v>5000</v>
      </c>
      <c r="E4" s="10" t="s">
        <v>88</v>
      </c>
      <c r="H4" t="str">
        <f>VLOOKUP(B4,B2:E11,4,FALSE)</f>
        <v>Sony</v>
      </c>
    </row>
    <row r="5" spans="1:8" ht="28.8" x14ac:dyDescent="0.3">
      <c r="A5" s="10" t="s">
        <v>89</v>
      </c>
      <c r="B5" s="10" t="s">
        <v>90</v>
      </c>
      <c r="C5" s="10" t="s">
        <v>74</v>
      </c>
      <c r="D5" s="11">
        <v>25000</v>
      </c>
      <c r="E5" s="10" t="s">
        <v>91</v>
      </c>
    </row>
    <row r="6" spans="1:8" ht="28.8" x14ac:dyDescent="0.3">
      <c r="A6" s="10" t="s">
        <v>78</v>
      </c>
      <c r="B6" s="10" t="s">
        <v>79</v>
      </c>
      <c r="C6" s="10" t="s">
        <v>80</v>
      </c>
      <c r="D6" s="11">
        <v>12000</v>
      </c>
      <c r="E6" s="10" t="s">
        <v>92</v>
      </c>
    </row>
    <row r="7" spans="1:8" ht="28.8" x14ac:dyDescent="0.3">
      <c r="A7" s="10" t="s">
        <v>93</v>
      </c>
      <c r="B7" s="10" t="s">
        <v>94</v>
      </c>
      <c r="C7" s="10" t="s">
        <v>77</v>
      </c>
      <c r="D7" s="11">
        <v>2500</v>
      </c>
      <c r="E7" s="10" t="s">
        <v>95</v>
      </c>
    </row>
    <row r="8" spans="1:8" ht="28.8" x14ac:dyDescent="0.3">
      <c r="A8" s="10" t="s">
        <v>96</v>
      </c>
      <c r="B8" s="10" t="s">
        <v>97</v>
      </c>
      <c r="C8" s="10" t="s">
        <v>77</v>
      </c>
      <c r="D8" s="11">
        <v>1500</v>
      </c>
      <c r="E8" s="10" t="s">
        <v>98</v>
      </c>
    </row>
    <row r="9" spans="1:8" ht="28.8" x14ac:dyDescent="0.3">
      <c r="A9" s="10" t="s">
        <v>83</v>
      </c>
      <c r="B9" s="10" t="s">
        <v>84</v>
      </c>
      <c r="C9" s="10" t="s">
        <v>74</v>
      </c>
      <c r="D9" s="11">
        <v>18000</v>
      </c>
      <c r="E9" s="10" t="s">
        <v>99</v>
      </c>
    </row>
    <row r="10" spans="1:8" ht="28.8" x14ac:dyDescent="0.3">
      <c r="A10" s="10" t="s">
        <v>100</v>
      </c>
      <c r="B10" s="10" t="s">
        <v>101</v>
      </c>
      <c r="C10" s="10" t="s">
        <v>74</v>
      </c>
      <c r="D10" s="11">
        <v>15000</v>
      </c>
      <c r="E10" s="10" t="s">
        <v>102</v>
      </c>
    </row>
    <row r="11" spans="1:8" ht="28.8" x14ac:dyDescent="0.3">
      <c r="A11" s="10" t="s">
        <v>103</v>
      </c>
      <c r="B11" s="10" t="s">
        <v>104</v>
      </c>
      <c r="C11" s="10" t="s">
        <v>77</v>
      </c>
      <c r="D11" s="11">
        <v>3000</v>
      </c>
      <c r="E11" s="10" t="s">
        <v>105</v>
      </c>
    </row>
    <row r="18" spans="1:7" x14ac:dyDescent="0.3">
      <c r="A18" s="15" t="s">
        <v>107</v>
      </c>
      <c r="B18" s="17">
        <v>1</v>
      </c>
      <c r="C18" s="16">
        <v>2</v>
      </c>
      <c r="D18" s="16">
        <v>3</v>
      </c>
    </row>
    <row r="19" spans="1:7" x14ac:dyDescent="0.3">
      <c r="A19" s="15" t="s">
        <v>108</v>
      </c>
      <c r="B19" s="17" t="s">
        <v>109</v>
      </c>
      <c r="C19" s="16" t="s">
        <v>110</v>
      </c>
      <c r="D19" s="16" t="s">
        <v>111</v>
      </c>
    </row>
    <row r="20" spans="1:7" x14ac:dyDescent="0.3">
      <c r="A20" s="15" t="s">
        <v>112</v>
      </c>
      <c r="B20" s="17" t="s">
        <v>113</v>
      </c>
      <c r="C20" s="16" t="s">
        <v>114</v>
      </c>
      <c r="D20" s="16" t="s">
        <v>115</v>
      </c>
    </row>
    <row r="21" spans="1:7" x14ac:dyDescent="0.3">
      <c r="A21" s="15" t="s">
        <v>116</v>
      </c>
      <c r="B21" s="17">
        <v>23</v>
      </c>
      <c r="C21" s="16">
        <v>34</v>
      </c>
      <c r="D21" s="16">
        <v>56</v>
      </c>
      <c r="G21">
        <f>HLOOKUP(B19,A19:D21,3,FALSE)</f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286145-F1DD-4CD1-BF4C-7271CECD83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DATE&amp;TIME FUNCTIONS</vt:lpstr>
      <vt:lpstr>Sheet4</vt:lpstr>
      <vt:lpstr>lookup's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Solleti</dc:creator>
  <cp:lastModifiedBy>Ganesh Solleti</cp:lastModifiedBy>
  <dcterms:created xsi:type="dcterms:W3CDTF">2026-08-15T12:30:27Z</dcterms:created>
  <dcterms:modified xsi:type="dcterms:W3CDTF">2026-08-15T14:14:18Z</dcterms:modified>
</cp:coreProperties>
</file>